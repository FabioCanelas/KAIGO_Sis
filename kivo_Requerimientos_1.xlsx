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FabioCCG\Downloads\"/>
    </mc:Choice>
  </mc:AlternateContent>
  <xr:revisionPtr revIDLastSave="0" documentId="8_{C4E2EE56-9EF9-47DD-B270-039B3FD389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ol" sheetId="1" r:id="rId1"/>
    <sheet name="Historias" sheetId="2" r:id="rId2"/>
    <sheet name="Prioridad" sheetId="3" r:id="rId3"/>
    <sheet name="Estimación" sheetId="4" r:id="rId4"/>
    <sheet name="Product Backlog" sheetId="5" r:id="rId5"/>
    <sheet name="Sprint Backlo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6" l="1"/>
  <c r="G18" i="6"/>
  <c r="G9" i="6"/>
  <c r="D13" i="4"/>
</calcChain>
</file>

<file path=xl/sharedStrings.xml><?xml version="1.0" encoding="utf-8"?>
<sst xmlns="http://schemas.openxmlformats.org/spreadsheetml/2006/main" count="392" uniqueCount="256">
  <si>
    <t>Rol de Usuario</t>
  </si>
  <si>
    <t>Num</t>
  </si>
  <si>
    <t>Responsabilidades Principales</t>
  </si>
  <si>
    <t>Limitaciones del Sistema</t>
  </si>
  <si>
    <t>Administrador del Catálogo</t>
  </si>
  <si>
    <t>Iniciar sesión de forma segura al panel administrativo.</t>
  </si>
  <si>
    <t>No gestiona pagos ni facturación electrónica (fuera de alcance).</t>
  </si>
  <si>
    <t>Registrar, editar y eliminar productos (nombre, descripción, precio, categoría, fotos, stock).</t>
  </si>
  <si>
    <t>No accede a módulos de logística o envíos.</t>
  </si>
  <si>
    <t>Gestionar categorías de productos (celulares, audífonos, cargadores, etc.).</t>
  </si>
  <si>
    <t>Actualizar niveles de stock y precios.</t>
  </si>
  <si>
    <t>Administrar fotografías e información técnica de cada producto.</t>
  </si>
  <si>
    <t>Cliente / Visitante</t>
  </si>
  <si>
    <t>Navegar el catálogo público sin necesidad de registro.</t>
  </si>
  <si>
    <t>No puede modificar información de productos.</t>
  </si>
  <si>
    <t>Buscar y filtrar productos por categoría, precio o palabra clave.</t>
  </si>
  <si>
    <t>No puede acceder al panel administrativo.</t>
  </si>
  <si>
    <t>Ver el detalle completo de cada producto.</t>
  </si>
  <si>
    <t>No puede realizar pagos dentro del sistema (se deriva a WhatsApp).</t>
  </si>
  <si>
    <t>Contactar al vendedor vía WhatsApp para concretar la compra.</t>
  </si>
  <si>
    <t>ID de la Historia</t>
  </si>
  <si>
    <t>Enunciado de la Historia</t>
  </si>
  <si>
    <t>Criterios de Aceptación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</si>
  <si>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</si>
  <si>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</si>
  <si>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</si>
  <si>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</si>
  <si>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</si>
  <si>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</si>
  <si>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</si>
  <si>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</si>
  <si>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HU-01</t>
  </si>
  <si>
    <t>Como Administrador</t>
  </si>
  <si>
    <t>Iniciar sesión de forma segura</t>
  </si>
  <si>
    <t>Con la finalidad de acceder al panel administrativo y proteger la información del negocio</t>
  </si>
  <si>
    <t>Login exitoso</t>
  </si>
  <si>
    <t>Cuando el administrador ingresa credenciales válidas</t>
  </si>
  <si>
    <t>Hace clic en "Iniciar sesión"</t>
  </si>
  <si>
    <t>El sistema lo redirige al panel administrativo</t>
  </si>
  <si>
    <t>Credenciales inválidas</t>
  </si>
  <si>
    <t>Cuando ingresa datos incorrectos</t>
  </si>
  <si>
    <t>Intenta iniciar sesión</t>
  </si>
  <si>
    <t>El sistema muestra un mensaje de error y no permite el acceso</t>
  </si>
  <si>
    <t>HU-02</t>
  </si>
  <si>
    <t>Registrar nuevos productos</t>
  </si>
  <si>
    <t>Con la finalidad de mantener actualizado el catálogo con fotos, descripción, precio y categoría</t>
  </si>
  <si>
    <t>Registro exitoso</t>
  </si>
  <si>
    <t>Cuando se completan todos los campos requeridos</t>
  </si>
  <si>
    <t>El administrador guarda el producto</t>
  </si>
  <si>
    <t>El sistema lo almacena y lo publica en el catálogo</t>
  </si>
  <si>
    <t>Campos incompletos</t>
  </si>
  <si>
    <t>Cuando faltan datos obligatorios</t>
  </si>
  <si>
    <t>El administrador intenta guardar</t>
  </si>
  <si>
    <t>El sistema muestra un error y no guarda el registro</t>
  </si>
  <si>
    <t>HU-03</t>
  </si>
  <si>
    <t>Editar y eliminar productos</t>
  </si>
  <si>
    <t>Con la finalidad de corregir información o retirar productos agotados o discontinuados</t>
  </si>
  <si>
    <t>Edición exitosa</t>
  </si>
  <si>
    <t>Cuando se modifica un producto existente</t>
  </si>
  <si>
    <t>El administrador guarda los cambios</t>
  </si>
  <si>
    <t>El sistema actualiza la información en el catálogo</t>
  </si>
  <si>
    <t>Eliminación</t>
  </si>
  <si>
    <t>Cuando un producto ya no está disponible</t>
  </si>
  <si>
    <t>El administrador lo elimina</t>
  </si>
  <si>
    <t>El sistema lo retira del catálogo público</t>
  </si>
  <si>
    <t>HU-04</t>
  </si>
  <si>
    <t>Gestionar categorías de productos</t>
  </si>
  <si>
    <t>Con la finalidad de organizar el catálogo (celulares, audífonos, cargadores, etc.)</t>
  </si>
  <si>
    <t>Crear categoría</t>
  </si>
  <si>
    <t>Cuando se necesita una nueva categoría</t>
  </si>
  <si>
    <t>El administrador la registra</t>
  </si>
  <si>
    <t>El sistema la agrega y queda disponible para asociar productos</t>
  </si>
  <si>
    <t>Categoría duplicada</t>
  </si>
  <si>
    <t>Cuando la categoría ya existe</t>
  </si>
  <si>
    <t>El administrador intenta crearla de nuevo</t>
  </si>
  <si>
    <t>El sistema muestra un aviso y evita duplicados</t>
  </si>
  <si>
    <t>HU-05</t>
  </si>
  <si>
    <t>Actualizar stock y precios</t>
  </si>
  <si>
    <t>Con la finalidad de reflejar la disponibilidad real de cada producto</t>
  </si>
  <si>
    <t>Actualización normal</t>
  </si>
  <si>
    <t>Cuando cambia el inventario o el precio</t>
  </si>
  <si>
    <t>El administrador edita el valor</t>
  </si>
  <si>
    <t>El sistema guarda el nuevo dato y lo refleja en el catálogo</t>
  </si>
  <si>
    <t>Stock en cero</t>
  </si>
  <si>
    <t>Cuando el stock llega a cero</t>
  </si>
  <si>
    <t>El sistema detecta el cambio</t>
  </si>
  <si>
    <t>El producto se marca automáticamente como "agotado"</t>
  </si>
  <si>
    <t>HU-06</t>
  </si>
  <si>
    <t>Como Cliente</t>
  </si>
  <si>
    <t>Navegar el catálogo público</t>
  </si>
  <si>
    <t>Con la finalidad de explorar los productos cómodamente desde cualquier dispositivo</t>
  </si>
  <si>
    <t>Visualización móvil</t>
  </si>
  <si>
    <t>Cuando el cliente accede desde un celular</t>
  </si>
  <si>
    <t>Abre el catálogo</t>
  </si>
  <si>
    <t>El sistema muestra una vitrina adaptada (responsive) a la pantalla</t>
  </si>
  <si>
    <t>Visualización escritorio</t>
  </si>
  <si>
    <t>Cuando el cliente accede desde una computadora</t>
  </si>
  <si>
    <t>El sistema muestra la vitrina optimizada para pantallas grandes</t>
  </si>
  <si>
    <t>HU-07</t>
  </si>
  <si>
    <t>Buscar y filtrar productos</t>
  </si>
  <si>
    <t>Con la finalidad de encontrar rápidamente lo que necesita</t>
  </si>
  <si>
    <t>Búsqueda con resultados</t>
  </si>
  <si>
    <t>Cuando ingresa un término o aplica un filtro válido</t>
  </si>
  <si>
    <t>Ejecuta la búsqueda</t>
  </si>
  <si>
    <t>El sistema muestra los productos coincidentes</t>
  </si>
  <si>
    <t>Búsqueda sin resultados</t>
  </si>
  <si>
    <t>Cuando no existen coincidencias</t>
  </si>
  <si>
    <t>El sistema informa que no se encontraron productos</t>
  </si>
  <si>
    <t>HU-08</t>
  </si>
  <si>
    <t>Ver el detalle de un producto</t>
  </si>
  <si>
    <t>Con la finalidad de tomar una decisión de compra informada</t>
  </si>
  <si>
    <t>Producto disponible</t>
  </si>
  <si>
    <t>Cuando el producto tiene stock</t>
  </si>
  <si>
    <t>El cliente abre la ficha</t>
  </si>
  <si>
    <t>El sistema muestra fotos, descripción, precio y disponibilidad</t>
  </si>
  <si>
    <t>Producto agotado</t>
  </si>
  <si>
    <t>Cuando el stock es cero</t>
  </si>
  <si>
    <t>El sistema muestra la etiqueta "agotado" y oculta la compra directa</t>
  </si>
  <si>
    <t>HU-09</t>
  </si>
  <si>
    <t>Contactar al vendedor por WhatsApp</t>
  </si>
  <si>
    <t>Con la finalidad de concretar la compra rápidamente</t>
  </si>
  <si>
    <t>Enlace funcional</t>
  </si>
  <si>
    <t>Cuando el cliente está en la ficha de un producto</t>
  </si>
  <si>
    <t>Hace clic en "Contactar por WhatsApp"</t>
  </si>
  <si>
    <t>El sistema abre WhatsApp con un mensaje predefinido</t>
  </si>
  <si>
    <t>Número no configurado</t>
  </si>
  <si>
    <t>Cuando el negocio no configuró un número de contacto</t>
  </si>
  <si>
    <t>El cliente intenta contactar</t>
  </si>
  <si>
    <t>El sistema oculta el botón o muestra un contacto alternativo</t>
  </si>
  <si>
    <t>HU-10</t>
  </si>
  <si>
    <t>Consultar listado general de productos</t>
  </si>
  <si>
    <t>Con la finalidad de verificar el estado global del catálogo</t>
  </si>
  <si>
    <t>Listado completo</t>
  </si>
  <si>
    <t>Cuando se accede al panel</t>
  </si>
  <si>
    <t>El administrador solicita el listado</t>
  </si>
  <si>
    <t>El sistema muestra todos los productos con su estado</t>
  </si>
  <si>
    <t>Filtro por categoría</t>
  </si>
  <si>
    <t>Cuando se necesita revisar solo una categoría</t>
  </si>
  <si>
    <t>El administrador aplica el filtro</t>
  </si>
  <si>
    <t>El sistema muestra únicamente los productos de esa categoría</t>
  </si>
  <si>
    <t>Nivel de Esfuerzo</t>
  </si>
  <si>
    <t>Descripción Técnica del Desarrollo</t>
  </si>
  <si>
    <t>Criterio de Complejidad</t>
  </si>
  <si>
    <t>Alta</t>
  </si>
  <si>
    <t>Funcionalidades base para el funcionamiento del catálogo: acceso seguro, registro de productos, vitrina pública responsive, búsqueda/filtrado y contacto vía WhatsApp.</t>
  </si>
  <si>
    <t>Bloqueante: sin estas funciones el catálogo no cumple su objetivo central de mostrar y vender productos.</t>
  </si>
  <si>
    <t>Media</t>
  </si>
  <si>
    <t>Funcionalidades que mejoran la gestión operativa diaria: edición/eliminación de productos, gestión de categorías, actualización de stock/precio y vista de detalle.</t>
  </si>
  <si>
    <t>Operativo: su ausencia obliga a actualizar manualmente la información y reduce la eficiencia administrativa.</t>
  </si>
  <si>
    <t>Baja</t>
  </si>
  <si>
    <t>Funcionalidades complementarias orientadas al control administrativo, como el listado general de productos.</t>
  </si>
  <si>
    <t>Opcional: aporta valor agregado, pero no impide la operación principal del catálogo.</t>
  </si>
  <si>
    <t>ID</t>
  </si>
  <si>
    <t>Historia de Usuario</t>
  </si>
  <si>
    <t>Story Points</t>
  </si>
  <si>
    <t>Justificación</t>
  </si>
  <si>
    <t>Iniciar sesión segura</t>
  </si>
  <si>
    <t>Bajo-Medio</t>
  </si>
  <si>
    <t>Autenticación simple con validación de credenciales.</t>
  </si>
  <si>
    <t>Registrar productos</t>
  </si>
  <si>
    <t>Alto</t>
  </si>
  <si>
    <t>Formulario con carga de imágenes, validaciones y almacenamiento en BD.</t>
  </si>
  <si>
    <t>Medio</t>
  </si>
  <si>
    <t>Requiere validaciones y actualización de registros existentes.</t>
  </si>
  <si>
    <t>Gestionar categorías</t>
  </si>
  <si>
    <t>Bajo</t>
  </si>
  <si>
    <t>CRUD simple de categorías.</t>
  </si>
  <si>
    <t>Actualizar stock y precio</t>
  </si>
  <si>
    <t>Actualización de campos con lógica de "agotado".</t>
  </si>
  <si>
    <t>Navegación responsive del catálogo</t>
  </si>
  <si>
    <t>Diseño adaptable a múltiples dispositivos y resoluciones.</t>
  </si>
  <si>
    <t>Búsqueda y filtrado</t>
  </si>
  <si>
    <t>Lógica de filtros combinados (categoría, precio, texto).</t>
  </si>
  <si>
    <t>Detalle de producto</t>
  </si>
  <si>
    <t>Vista de ficha con datos ya almacenados.</t>
  </si>
  <si>
    <t>Contacto por WhatsApp</t>
  </si>
  <si>
    <t>Generación de enlace dinámico (wa.me) con mensaje predefinido.</t>
  </si>
  <si>
    <t>Listado general de productos</t>
  </si>
  <si>
    <t>Consulta y filtro simple sobre la base de datos.</t>
  </si>
  <si>
    <t>Total</t>
  </si>
  <si>
    <t>Id de la Historia</t>
  </si>
  <si>
    <t>Alias</t>
  </si>
  <si>
    <t>Estado</t>
  </si>
  <si>
    <t>Dimensión / Esfuerzo</t>
  </si>
  <si>
    <t>Iteración (Sprint)</t>
  </si>
  <si>
    <t>Prioridad</t>
  </si>
  <si>
    <t>Comentarios</t>
  </si>
  <si>
    <t>Como administrador, necesito iniciar sesión de forma segura para acceder al panel administrativo.</t>
  </si>
  <si>
    <t>Login Seguro</t>
  </si>
  <si>
    <t>Pendiente</t>
  </si>
  <si>
    <t>Base para proteger el sistema.</t>
  </si>
  <si>
    <t>Como administrador, necesito registrar nuevos productos con fotos, descripción, precio y categoría.</t>
  </si>
  <si>
    <t>Registro de Productos</t>
  </si>
  <si>
    <t>Funcionalidad central del catálogo.</t>
  </si>
  <si>
    <t>Como administrador, necesito editar y eliminar productos existentes.</t>
  </si>
  <si>
    <t>Edición de Productos</t>
  </si>
  <si>
    <t>Mantiene el catálogo actualizado.</t>
  </si>
  <si>
    <t>Como administrador, necesito gestionar categorías de productos.</t>
  </si>
  <si>
    <t>Gestión de Categorías</t>
  </si>
  <si>
    <t>Organiza la vitrina pública.</t>
  </si>
  <si>
    <t>Como administrador, necesito actualizar stock y precios.</t>
  </si>
  <si>
    <t>Gestión de Stock</t>
  </si>
  <si>
    <t>Refleja disponibilidad real.</t>
  </si>
  <si>
    <t>Como cliente, necesito navegar el catálogo desde cualquier dispositivo.</t>
  </si>
  <si>
    <t>Catálogo Responsive</t>
  </si>
  <si>
    <t>Vitrina digital adaptable.</t>
  </si>
  <si>
    <t>Como cliente, necesito buscar y filtrar productos.</t>
  </si>
  <si>
    <t>Búsqueda y Filtrado</t>
  </si>
  <si>
    <t>Mejora la exploración del cliente.</t>
  </si>
  <si>
    <t>Como cliente, necesito ver el detalle de un producto.</t>
  </si>
  <si>
    <t>Ficha de Producto</t>
  </si>
  <si>
    <t>Apoya la decisión de compra.</t>
  </si>
  <si>
    <t>Como cliente, necesito contactar al vendedor por WhatsApp.</t>
  </si>
  <si>
    <t>Contacto WhatsApp</t>
  </si>
  <si>
    <t>Conecta catálogo con canal de venta.</t>
  </si>
  <si>
    <t>Como administrador, necesito ver el listado general de productos.</t>
  </si>
  <si>
    <t>Listado de Productos</t>
  </si>
  <si>
    <t>Apoya control administrativo.</t>
  </si>
  <si>
    <t>Sprint 1 (13/07/2026 - 19/07/2026)</t>
  </si>
  <si>
    <t>Objetivo: Implementar el acceso administrativo y la publicación básica de productos.</t>
  </si>
  <si>
    <t>Enunciado del item de Product Backlog</t>
  </si>
  <si>
    <t>Tarea</t>
  </si>
  <si>
    <t>Dueño / Voluntario</t>
  </si>
  <si>
    <t>Estatus</t>
  </si>
  <si>
    <t>Horas estimadas</t>
  </si>
  <si>
    <t>Desarrollo del módulo de autenticación del administrador</t>
  </si>
  <si>
    <t>Fabio</t>
  </si>
  <si>
    <t>Diseño e implementación de la base de datos de productos y categorías</t>
  </si>
  <si>
    <t>Desarrollo del módulo de registro de productos (con carga de imágenes)</t>
  </si>
  <si>
    <t>Desarrollo del módulo de edición y eliminación de productos</t>
  </si>
  <si>
    <t>—</t>
  </si>
  <si>
    <t>Sistema</t>
  </si>
  <si>
    <t>Pruebas funcionales del módulo administrativo</t>
  </si>
  <si>
    <t>Total Sprint 1:</t>
  </si>
  <si>
    <t>Sprint 2 (20/07/2026 - 26/07/2026)</t>
  </si>
  <si>
    <t>Objetivo: Completar la gestión de inventario y desarrollar la vitrina pública.</t>
  </si>
  <si>
    <t>Desarrollo del módulo de gestión de categorías</t>
  </si>
  <si>
    <t>Desarrollo del módulo de actualización de stock y precios</t>
  </si>
  <si>
    <t>Desarrollo de la vitrina pública responsive</t>
  </si>
  <si>
    <t>Pruebas de compatibilidad en distintos dispositivos</t>
  </si>
  <si>
    <t>Total Sprint 2:</t>
  </si>
  <si>
    <t>Sprint 3 (27/07/2026 - 02/08/2026)</t>
  </si>
  <si>
    <t>Objetivo: Implementar búsqueda, detalle de producto y contacto con el cliente.</t>
  </si>
  <si>
    <t>Desarrollo del módulo de búsqueda y filtrado</t>
  </si>
  <si>
    <t>Desarrollo de la vista de detalle de producto</t>
  </si>
  <si>
    <t>Integración del botón de contacto por WhatsApp</t>
  </si>
  <si>
    <t>Desarrollo del listado general de productos (panel admin)</t>
  </si>
  <si>
    <t>Integración final, pruebas generales y corrección de errores</t>
  </si>
  <si>
    <t>Total Sprint 3:</t>
  </si>
  <si>
    <t>Asignación por Integrante</t>
  </si>
  <si>
    <t>Integrante</t>
  </si>
  <si>
    <t>Historias de Usuario a cargo</t>
  </si>
  <si>
    <t>Tareas asignadas</t>
  </si>
  <si>
    <t>Fabio Cesar Canelas Godoy</t>
  </si>
  <si>
    <t>HU-01 a HU-10 (todas las historias)</t>
  </si>
  <si>
    <t>Desarrollo integral de los módulos de administración (login, productos, categorías, stock) y del catálogo público (vitrina responsive, búsqueda, detalle, contacto WhatsApp).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</si>
</sst>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1F1F1F"/>
      <name val="Arial"/>
      <charset val="1"/>
    </font>
    <font>
      <sz val="11"/>
      <color rgb="FF1F1F1F"/>
      <name val="Arial"/>
      <charset val="1"/>
    </font>
    <font>
      <b/>
      <sz val="12"/>
      <color rgb="FFFFFFFF"/>
      <name val="Arial"/>
      <charset val="1"/>
    </font>
    <font>
      <i/>
      <sz val="11"/>
      <color rgb="FF1F1F1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4E79"/>
      </patternFill>
    </fill>
    <fill>
      <patternFill patternType="solid">
        <fgColor rgb="FFDCE6F1"/>
        <bgColor rgb="FFCCFFFF"/>
      </patternFill>
    </fill>
    <fill>
      <patternFill patternType="solid">
        <fgColor rgb="FF1F4E79"/>
        <bgColor rgb="FF30549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3"/>
  <sheetViews>
    <sheetView tabSelected="1" zoomScaleNormal="100" workbookViewId="0"/>
  </sheetViews>
  <sheetFormatPr baseColWidth="10" defaultColWidth="8.7109375" defaultRowHeight="15" x14ac:dyDescent="0.25"/>
  <cols>
    <col min="2" max="2" width="26" customWidth="1"/>
    <col min="3" max="3" width="8" customWidth="1"/>
    <col min="4" max="4" width="48" customWidth="1"/>
    <col min="5" max="5" width="8" customWidth="1"/>
    <col min="6" max="6" width="42" customWidth="1"/>
  </cols>
  <sheetData>
    <row r="3" spans="2:6" x14ac:dyDescent="0.25">
      <c r="B3" s="11" t="s">
        <v>0</v>
      </c>
      <c r="C3" s="11" t="s">
        <v>1</v>
      </c>
      <c r="D3" s="11" t="s">
        <v>2</v>
      </c>
      <c r="E3" s="11" t="s">
        <v>1</v>
      </c>
      <c r="F3" s="11" t="s">
        <v>3</v>
      </c>
    </row>
    <row r="4" spans="2:6" ht="26.85" customHeight="1" x14ac:dyDescent="0.25">
      <c r="B4" s="10" t="s">
        <v>4</v>
      </c>
      <c r="C4" s="12">
        <v>1</v>
      </c>
      <c r="D4" s="13" t="s">
        <v>5</v>
      </c>
      <c r="E4" s="12">
        <v>1</v>
      </c>
      <c r="F4" s="13" t="s">
        <v>6</v>
      </c>
    </row>
    <row r="5" spans="2:6" ht="28.5" x14ac:dyDescent="0.25">
      <c r="B5" s="10"/>
      <c r="C5" s="12">
        <v>2</v>
      </c>
      <c r="D5" s="13" t="s">
        <v>7</v>
      </c>
      <c r="E5" s="12">
        <v>2</v>
      </c>
      <c r="F5" s="13" t="s">
        <v>8</v>
      </c>
    </row>
    <row r="6" spans="2:6" ht="28.5" x14ac:dyDescent="0.25">
      <c r="B6" s="10"/>
      <c r="C6" s="12">
        <v>3</v>
      </c>
      <c r="D6" s="13" t="s">
        <v>9</v>
      </c>
      <c r="E6" s="12"/>
      <c r="F6" s="13"/>
    </row>
    <row r="7" spans="2:6" x14ac:dyDescent="0.25">
      <c r="B7" s="10"/>
      <c r="C7" s="12">
        <v>4</v>
      </c>
      <c r="D7" s="13" t="s">
        <v>10</v>
      </c>
      <c r="E7" s="12"/>
      <c r="F7" s="13"/>
    </row>
    <row r="8" spans="2:6" ht="28.5" x14ac:dyDescent="0.25">
      <c r="B8" s="10"/>
      <c r="C8" s="12">
        <v>5</v>
      </c>
      <c r="D8" s="13" t="s">
        <v>11</v>
      </c>
      <c r="E8" s="12"/>
      <c r="F8" s="13"/>
    </row>
    <row r="10" spans="2:6" ht="26.85" customHeight="1" x14ac:dyDescent="0.25">
      <c r="B10" s="10" t="s">
        <v>12</v>
      </c>
      <c r="C10" s="12">
        <v>1</v>
      </c>
      <c r="D10" s="13" t="s">
        <v>13</v>
      </c>
      <c r="E10" s="12">
        <v>1</v>
      </c>
      <c r="F10" s="13" t="s">
        <v>14</v>
      </c>
    </row>
    <row r="11" spans="2:6" ht="28.5" x14ac:dyDescent="0.25">
      <c r="B11" s="10"/>
      <c r="C11" s="12">
        <v>2</v>
      </c>
      <c r="D11" s="13" t="s">
        <v>15</v>
      </c>
      <c r="E11" s="12">
        <v>2</v>
      </c>
      <c r="F11" s="13" t="s">
        <v>16</v>
      </c>
    </row>
    <row r="12" spans="2:6" ht="28.5" x14ac:dyDescent="0.25">
      <c r="B12" s="10"/>
      <c r="C12" s="12">
        <v>3</v>
      </c>
      <c r="D12" s="13" t="s">
        <v>17</v>
      </c>
      <c r="E12" s="12">
        <v>3</v>
      </c>
      <c r="F12" s="13" t="s">
        <v>18</v>
      </c>
    </row>
    <row r="13" spans="2:6" ht="28.5" x14ac:dyDescent="0.25">
      <c r="B13" s="10"/>
      <c r="C13" s="12">
        <v>4</v>
      </c>
      <c r="D13" s="13" t="s">
        <v>19</v>
      </c>
      <c r="E13" s="12"/>
      <c r="F13" s="13"/>
    </row>
  </sheetData>
  <mergeCells count="2">
    <mergeCell ref="B4:B8"/>
    <mergeCell ref="B10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Normal="100" workbookViewId="0">
      <selection sqref="A1:A2"/>
    </sheetView>
  </sheetViews>
  <sheetFormatPr baseColWidth="10" defaultColWidth="8.7109375" defaultRowHeight="15" x14ac:dyDescent="0.25"/>
  <cols>
    <col min="1" max="1" width="10" customWidth="1"/>
    <col min="2" max="2" width="16" customWidth="1"/>
    <col min="3" max="3" width="26" customWidth="1"/>
    <col min="4" max="4" width="34" customWidth="1"/>
    <col min="5" max="5" width="10" customWidth="1"/>
    <col min="6" max="6" width="20.140625" customWidth="1"/>
    <col min="7" max="7" width="30" customWidth="1"/>
    <col min="8" max="8" width="22.42578125" customWidth="1"/>
    <col min="9" max="9" width="32" customWidth="1"/>
  </cols>
  <sheetData>
    <row r="1" spans="1:9" ht="15" customHeight="1" x14ac:dyDescent="0.25">
      <c r="A1" s="9" t="s">
        <v>20</v>
      </c>
      <c r="B1" s="8" t="s">
        <v>21</v>
      </c>
      <c r="C1" s="8"/>
      <c r="D1" s="8"/>
      <c r="E1" s="8"/>
      <c r="F1" s="8" t="s">
        <v>22</v>
      </c>
      <c r="G1" s="8"/>
      <c r="H1" s="8"/>
      <c r="I1" s="8"/>
    </row>
    <row r="2" spans="1:9" ht="60" x14ac:dyDescent="0.25">
      <c r="A2" s="9"/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29</v>
      </c>
      <c r="I2" s="11" t="s">
        <v>30</v>
      </c>
    </row>
    <row r="3" spans="1:9" ht="26.85" customHeight="1" x14ac:dyDescent="0.25">
      <c r="A3" s="10" t="s">
        <v>31</v>
      </c>
      <c r="B3" s="7" t="s">
        <v>32</v>
      </c>
      <c r="C3" s="6" t="s">
        <v>33</v>
      </c>
      <c r="D3" s="6" t="s">
        <v>34</v>
      </c>
      <c r="E3" s="12">
        <v>1</v>
      </c>
      <c r="F3" s="13" t="s">
        <v>35</v>
      </c>
      <c r="G3" s="13" t="s">
        <v>36</v>
      </c>
      <c r="H3" s="13" t="s">
        <v>37</v>
      </c>
      <c r="I3" s="13" t="s">
        <v>38</v>
      </c>
    </row>
    <row r="4" spans="1:9" ht="28.5" x14ac:dyDescent="0.25">
      <c r="A4" s="10"/>
      <c r="B4" s="10"/>
      <c r="C4" s="10"/>
      <c r="D4" s="10"/>
      <c r="E4" s="12">
        <v>2</v>
      </c>
      <c r="F4" s="13" t="s">
        <v>39</v>
      </c>
      <c r="G4" s="13" t="s">
        <v>40</v>
      </c>
      <c r="H4" s="13" t="s">
        <v>41</v>
      </c>
      <c r="I4" s="13" t="s">
        <v>42</v>
      </c>
    </row>
    <row r="5" spans="1:9" ht="26.85" customHeight="1" x14ac:dyDescent="0.25">
      <c r="A5" s="10" t="s">
        <v>43</v>
      </c>
      <c r="B5" s="7" t="s">
        <v>32</v>
      </c>
      <c r="C5" s="6" t="s">
        <v>44</v>
      </c>
      <c r="D5" s="6" t="s">
        <v>45</v>
      </c>
      <c r="E5" s="12">
        <v>1</v>
      </c>
      <c r="F5" s="13" t="s">
        <v>46</v>
      </c>
      <c r="G5" s="13" t="s">
        <v>47</v>
      </c>
      <c r="H5" s="13" t="s">
        <v>48</v>
      </c>
      <c r="I5" s="13" t="s">
        <v>49</v>
      </c>
    </row>
    <row r="6" spans="1:9" ht="28.5" x14ac:dyDescent="0.25">
      <c r="A6" s="10"/>
      <c r="B6" s="10"/>
      <c r="C6" s="10"/>
      <c r="D6" s="10"/>
      <c r="E6" s="12">
        <v>2</v>
      </c>
      <c r="F6" s="13" t="s">
        <v>50</v>
      </c>
      <c r="G6" s="13" t="s">
        <v>51</v>
      </c>
      <c r="H6" s="13" t="s">
        <v>52</v>
      </c>
      <c r="I6" s="13" t="s">
        <v>53</v>
      </c>
    </row>
    <row r="7" spans="1:9" ht="26.85" customHeight="1" x14ac:dyDescent="0.25">
      <c r="A7" s="10" t="s">
        <v>54</v>
      </c>
      <c r="B7" s="7" t="s">
        <v>32</v>
      </c>
      <c r="C7" s="6" t="s">
        <v>55</v>
      </c>
      <c r="D7" s="6" t="s">
        <v>56</v>
      </c>
      <c r="E7" s="12">
        <v>1</v>
      </c>
      <c r="F7" s="13" t="s">
        <v>57</v>
      </c>
      <c r="G7" s="13" t="s">
        <v>58</v>
      </c>
      <c r="H7" s="13" t="s">
        <v>59</v>
      </c>
      <c r="I7" s="13" t="s">
        <v>60</v>
      </c>
    </row>
    <row r="8" spans="1:9" ht="28.5" x14ac:dyDescent="0.25">
      <c r="A8" s="10"/>
      <c r="B8" s="10"/>
      <c r="C8" s="10"/>
      <c r="D8" s="10"/>
      <c r="E8" s="12">
        <v>2</v>
      </c>
      <c r="F8" s="13" t="s">
        <v>61</v>
      </c>
      <c r="G8" s="13" t="s">
        <v>62</v>
      </c>
      <c r="H8" s="13" t="s">
        <v>63</v>
      </c>
      <c r="I8" s="13" t="s">
        <v>64</v>
      </c>
    </row>
    <row r="9" spans="1:9" ht="26.85" customHeight="1" x14ac:dyDescent="0.25">
      <c r="A9" s="10" t="s">
        <v>65</v>
      </c>
      <c r="B9" s="7" t="s">
        <v>32</v>
      </c>
      <c r="C9" s="6" t="s">
        <v>66</v>
      </c>
      <c r="D9" s="6" t="s">
        <v>67</v>
      </c>
      <c r="E9" s="12">
        <v>1</v>
      </c>
      <c r="F9" s="13" t="s">
        <v>68</v>
      </c>
      <c r="G9" s="13" t="s">
        <v>69</v>
      </c>
      <c r="H9" s="13" t="s">
        <v>70</v>
      </c>
      <c r="I9" s="13" t="s">
        <v>71</v>
      </c>
    </row>
    <row r="10" spans="1:9" ht="42.75" x14ac:dyDescent="0.25">
      <c r="A10" s="10"/>
      <c r="B10" s="10"/>
      <c r="C10" s="10"/>
      <c r="D10" s="10"/>
      <c r="E10" s="12">
        <v>2</v>
      </c>
      <c r="F10" s="13" t="s">
        <v>72</v>
      </c>
      <c r="G10" s="13" t="s">
        <v>73</v>
      </c>
      <c r="H10" s="13" t="s">
        <v>74</v>
      </c>
      <c r="I10" s="13" t="s">
        <v>75</v>
      </c>
    </row>
    <row r="11" spans="1:9" ht="26.85" customHeight="1" x14ac:dyDescent="0.25">
      <c r="A11" s="10" t="s">
        <v>76</v>
      </c>
      <c r="B11" s="7" t="s">
        <v>32</v>
      </c>
      <c r="C11" s="6" t="s">
        <v>77</v>
      </c>
      <c r="D11" s="6" t="s">
        <v>78</v>
      </c>
      <c r="E11" s="12">
        <v>1</v>
      </c>
      <c r="F11" s="13" t="s">
        <v>79</v>
      </c>
      <c r="G11" s="13" t="s">
        <v>80</v>
      </c>
      <c r="H11" s="13" t="s">
        <v>81</v>
      </c>
      <c r="I11" s="13" t="s">
        <v>82</v>
      </c>
    </row>
    <row r="12" spans="1:9" ht="42.75" x14ac:dyDescent="0.25">
      <c r="A12" s="10"/>
      <c r="B12" s="10"/>
      <c r="C12" s="10"/>
      <c r="D12" s="10"/>
      <c r="E12" s="12">
        <v>2</v>
      </c>
      <c r="F12" s="13" t="s">
        <v>83</v>
      </c>
      <c r="G12" s="13" t="s">
        <v>84</v>
      </c>
      <c r="H12" s="13" t="s">
        <v>85</v>
      </c>
      <c r="I12" s="13" t="s">
        <v>86</v>
      </c>
    </row>
    <row r="13" spans="1:9" ht="39.6" customHeight="1" x14ac:dyDescent="0.25">
      <c r="A13" s="10" t="s">
        <v>87</v>
      </c>
      <c r="B13" s="7" t="s">
        <v>88</v>
      </c>
      <c r="C13" s="6" t="s">
        <v>89</v>
      </c>
      <c r="D13" s="6" t="s">
        <v>90</v>
      </c>
      <c r="E13" s="12">
        <v>1</v>
      </c>
      <c r="F13" s="13" t="s">
        <v>91</v>
      </c>
      <c r="G13" s="13" t="s">
        <v>92</v>
      </c>
      <c r="H13" s="13" t="s">
        <v>93</v>
      </c>
      <c r="I13" s="13" t="s">
        <v>94</v>
      </c>
    </row>
    <row r="14" spans="1:9" ht="42.75" x14ac:dyDescent="0.25">
      <c r="A14" s="10"/>
      <c r="B14" s="10"/>
      <c r="C14" s="10"/>
      <c r="D14" s="10"/>
      <c r="E14" s="12">
        <v>2</v>
      </c>
      <c r="F14" s="13" t="s">
        <v>95</v>
      </c>
      <c r="G14" s="13" t="s">
        <v>96</v>
      </c>
      <c r="H14" s="13" t="s">
        <v>93</v>
      </c>
      <c r="I14" s="13" t="s">
        <v>97</v>
      </c>
    </row>
    <row r="15" spans="1:9" ht="26.85" customHeight="1" x14ac:dyDescent="0.25">
      <c r="A15" s="10" t="s">
        <v>98</v>
      </c>
      <c r="B15" s="7" t="s">
        <v>88</v>
      </c>
      <c r="C15" s="6" t="s">
        <v>99</v>
      </c>
      <c r="D15" s="6" t="s">
        <v>100</v>
      </c>
      <c r="E15" s="12">
        <v>1</v>
      </c>
      <c r="F15" s="13" t="s">
        <v>101</v>
      </c>
      <c r="G15" s="13" t="s">
        <v>102</v>
      </c>
      <c r="H15" s="13" t="s">
        <v>103</v>
      </c>
      <c r="I15" s="13" t="s">
        <v>104</v>
      </c>
    </row>
    <row r="16" spans="1:9" ht="28.5" x14ac:dyDescent="0.25">
      <c r="A16" s="10"/>
      <c r="B16" s="10"/>
      <c r="C16" s="10"/>
      <c r="D16" s="10"/>
      <c r="E16" s="12">
        <v>2</v>
      </c>
      <c r="F16" s="13" t="s">
        <v>105</v>
      </c>
      <c r="G16" s="13" t="s">
        <v>106</v>
      </c>
      <c r="H16" s="13" t="s">
        <v>103</v>
      </c>
      <c r="I16" s="13" t="s">
        <v>107</v>
      </c>
    </row>
    <row r="17" spans="1:9" ht="39.6" customHeight="1" x14ac:dyDescent="0.25">
      <c r="A17" s="10" t="s">
        <v>108</v>
      </c>
      <c r="B17" s="7" t="s">
        <v>88</v>
      </c>
      <c r="C17" s="6" t="s">
        <v>109</v>
      </c>
      <c r="D17" s="6" t="s">
        <v>110</v>
      </c>
      <c r="E17" s="12">
        <v>1</v>
      </c>
      <c r="F17" s="13" t="s">
        <v>111</v>
      </c>
      <c r="G17" s="13" t="s">
        <v>112</v>
      </c>
      <c r="H17" s="13" t="s">
        <v>113</v>
      </c>
      <c r="I17" s="13" t="s">
        <v>114</v>
      </c>
    </row>
    <row r="18" spans="1:9" ht="42.75" x14ac:dyDescent="0.25">
      <c r="A18" s="10"/>
      <c r="B18" s="10"/>
      <c r="C18" s="10"/>
      <c r="D18" s="10"/>
      <c r="E18" s="12">
        <v>2</v>
      </c>
      <c r="F18" s="13" t="s">
        <v>115</v>
      </c>
      <c r="G18" s="13" t="s">
        <v>116</v>
      </c>
      <c r="H18" s="13" t="s">
        <v>113</v>
      </c>
      <c r="I18" s="13" t="s">
        <v>117</v>
      </c>
    </row>
    <row r="19" spans="1:9" ht="26.85" customHeight="1" x14ac:dyDescent="0.25">
      <c r="A19" s="10" t="s">
        <v>118</v>
      </c>
      <c r="B19" s="7" t="s">
        <v>88</v>
      </c>
      <c r="C19" s="6" t="s">
        <v>119</v>
      </c>
      <c r="D19" s="6" t="s">
        <v>120</v>
      </c>
      <c r="E19" s="12">
        <v>1</v>
      </c>
      <c r="F19" s="13" t="s">
        <v>121</v>
      </c>
      <c r="G19" s="13" t="s">
        <v>122</v>
      </c>
      <c r="H19" s="13" t="s">
        <v>123</v>
      </c>
      <c r="I19" s="13" t="s">
        <v>124</v>
      </c>
    </row>
    <row r="20" spans="1:9" ht="42.75" x14ac:dyDescent="0.25">
      <c r="A20" s="10"/>
      <c r="B20" s="10"/>
      <c r="C20" s="10"/>
      <c r="D20" s="10"/>
      <c r="E20" s="12">
        <v>2</v>
      </c>
      <c r="F20" s="13" t="s">
        <v>125</v>
      </c>
      <c r="G20" s="13" t="s">
        <v>126</v>
      </c>
      <c r="H20" s="13" t="s">
        <v>127</v>
      </c>
      <c r="I20" s="13" t="s">
        <v>128</v>
      </c>
    </row>
    <row r="21" spans="1:9" ht="26.85" customHeight="1" x14ac:dyDescent="0.25">
      <c r="A21" s="10" t="s">
        <v>129</v>
      </c>
      <c r="B21" s="7" t="s">
        <v>32</v>
      </c>
      <c r="C21" s="6" t="s">
        <v>130</v>
      </c>
      <c r="D21" s="6" t="s">
        <v>131</v>
      </c>
      <c r="E21" s="12">
        <v>1</v>
      </c>
      <c r="F21" s="13" t="s">
        <v>132</v>
      </c>
      <c r="G21" s="13" t="s">
        <v>133</v>
      </c>
      <c r="H21" s="13" t="s">
        <v>134</v>
      </c>
      <c r="I21" s="13" t="s">
        <v>135</v>
      </c>
    </row>
    <row r="22" spans="1:9" ht="28.5" x14ac:dyDescent="0.25">
      <c r="A22" s="10"/>
      <c r="B22" s="10"/>
      <c r="C22" s="10"/>
      <c r="D22" s="10"/>
      <c r="E22" s="12">
        <v>2</v>
      </c>
      <c r="F22" s="13" t="s">
        <v>136</v>
      </c>
      <c r="G22" s="13" t="s">
        <v>137</v>
      </c>
      <c r="H22" s="13" t="s">
        <v>138</v>
      </c>
      <c r="I22" s="13" t="s">
        <v>139</v>
      </c>
    </row>
  </sheetData>
  <mergeCells count="43">
    <mergeCell ref="A21:A22"/>
    <mergeCell ref="B21:B22"/>
    <mergeCell ref="C21:C22"/>
    <mergeCell ref="D21:D22"/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2"/>
    <mergeCell ref="B1:E1"/>
    <mergeCell ref="F1:I1"/>
    <mergeCell ref="A3:A4"/>
    <mergeCell ref="B3:B4"/>
    <mergeCell ref="C3:C4"/>
    <mergeCell ref="D3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6"/>
  <sheetViews>
    <sheetView zoomScaleNormal="100" workbookViewId="0"/>
  </sheetViews>
  <sheetFormatPr baseColWidth="10" defaultColWidth="8.7109375" defaultRowHeight="15" x14ac:dyDescent="0.25"/>
  <cols>
    <col min="2" max="2" width="16" customWidth="1"/>
    <col min="3" max="3" width="55" customWidth="1"/>
    <col min="4" max="4" width="50" customWidth="1"/>
  </cols>
  <sheetData>
    <row r="3" spans="2:4" ht="30" x14ac:dyDescent="0.25">
      <c r="B3" s="11" t="s">
        <v>140</v>
      </c>
      <c r="C3" s="11" t="s">
        <v>141</v>
      </c>
      <c r="D3" s="11" t="s">
        <v>142</v>
      </c>
    </row>
    <row r="4" spans="2:4" ht="57" x14ac:dyDescent="0.25">
      <c r="B4" s="14" t="s">
        <v>143</v>
      </c>
      <c r="C4" s="13" t="s">
        <v>144</v>
      </c>
      <c r="D4" s="13" t="s">
        <v>145</v>
      </c>
    </row>
    <row r="5" spans="2:4" ht="42.75" x14ac:dyDescent="0.25">
      <c r="B5" s="14" t="s">
        <v>146</v>
      </c>
      <c r="C5" s="13" t="s">
        <v>147</v>
      </c>
      <c r="D5" s="13" t="s">
        <v>148</v>
      </c>
    </row>
    <row r="6" spans="2:4" ht="28.5" x14ac:dyDescent="0.25">
      <c r="B6" s="14" t="s">
        <v>149</v>
      </c>
      <c r="C6" s="13" t="s">
        <v>150</v>
      </c>
      <c r="D6" s="13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3"/>
  <sheetViews>
    <sheetView zoomScaleNormal="100" workbookViewId="0"/>
  </sheetViews>
  <sheetFormatPr baseColWidth="10" defaultColWidth="8.7109375" defaultRowHeight="15" x14ac:dyDescent="0.25"/>
  <cols>
    <col min="2" max="2" width="9" customWidth="1"/>
    <col min="3" max="3" width="28" customWidth="1"/>
    <col min="4" max="4" width="12" customWidth="1"/>
    <col min="5" max="5" width="14" customWidth="1"/>
    <col min="6" max="6" width="45" customWidth="1"/>
  </cols>
  <sheetData>
    <row r="2" spans="2:6" ht="30" x14ac:dyDescent="0.25">
      <c r="B2" s="11" t="s">
        <v>152</v>
      </c>
      <c r="C2" s="11" t="s">
        <v>153</v>
      </c>
      <c r="D2" s="11" t="s">
        <v>154</v>
      </c>
      <c r="E2" s="11" t="s">
        <v>140</v>
      </c>
      <c r="F2" s="11" t="s">
        <v>155</v>
      </c>
    </row>
    <row r="3" spans="2:6" ht="28.5" x14ac:dyDescent="0.25">
      <c r="B3" s="14" t="s">
        <v>31</v>
      </c>
      <c r="C3" s="13" t="s">
        <v>156</v>
      </c>
      <c r="D3" s="12">
        <v>3</v>
      </c>
      <c r="E3" s="12" t="s">
        <v>157</v>
      </c>
      <c r="F3" s="13" t="s">
        <v>158</v>
      </c>
    </row>
    <row r="4" spans="2:6" ht="28.5" x14ac:dyDescent="0.25">
      <c r="B4" s="14" t="s">
        <v>43</v>
      </c>
      <c r="C4" s="13" t="s">
        <v>159</v>
      </c>
      <c r="D4" s="12">
        <v>8</v>
      </c>
      <c r="E4" s="12" t="s">
        <v>160</v>
      </c>
      <c r="F4" s="13" t="s">
        <v>161</v>
      </c>
    </row>
    <row r="5" spans="2:6" ht="28.5" x14ac:dyDescent="0.25">
      <c r="B5" s="14" t="s">
        <v>54</v>
      </c>
      <c r="C5" s="13" t="s">
        <v>55</v>
      </c>
      <c r="D5" s="12">
        <v>5</v>
      </c>
      <c r="E5" s="12" t="s">
        <v>162</v>
      </c>
      <c r="F5" s="13" t="s">
        <v>163</v>
      </c>
    </row>
    <row r="6" spans="2:6" x14ac:dyDescent="0.25">
      <c r="B6" s="14" t="s">
        <v>65</v>
      </c>
      <c r="C6" s="13" t="s">
        <v>164</v>
      </c>
      <c r="D6" s="12">
        <v>3</v>
      </c>
      <c r="E6" s="12" t="s">
        <v>165</v>
      </c>
      <c r="F6" s="13" t="s">
        <v>166</v>
      </c>
    </row>
    <row r="7" spans="2:6" ht="28.5" x14ac:dyDescent="0.25">
      <c r="B7" s="14" t="s">
        <v>76</v>
      </c>
      <c r="C7" s="13" t="s">
        <v>167</v>
      </c>
      <c r="D7" s="12">
        <v>3</v>
      </c>
      <c r="E7" s="12" t="s">
        <v>157</v>
      </c>
      <c r="F7" s="13" t="s">
        <v>168</v>
      </c>
    </row>
    <row r="8" spans="2:6" ht="28.5" x14ac:dyDescent="0.25">
      <c r="B8" s="14" t="s">
        <v>87</v>
      </c>
      <c r="C8" s="13" t="s">
        <v>169</v>
      </c>
      <c r="D8" s="12">
        <v>8</v>
      </c>
      <c r="E8" s="12" t="s">
        <v>160</v>
      </c>
      <c r="F8" s="13" t="s">
        <v>170</v>
      </c>
    </row>
    <row r="9" spans="2:6" ht="28.5" x14ac:dyDescent="0.25">
      <c r="B9" s="14" t="s">
        <v>98</v>
      </c>
      <c r="C9" s="13" t="s">
        <v>171</v>
      </c>
      <c r="D9" s="12">
        <v>5</v>
      </c>
      <c r="E9" s="12" t="s">
        <v>162</v>
      </c>
      <c r="F9" s="13" t="s">
        <v>172</v>
      </c>
    </row>
    <row r="10" spans="2:6" x14ac:dyDescent="0.25">
      <c r="B10" s="14" t="s">
        <v>108</v>
      </c>
      <c r="C10" s="13" t="s">
        <v>173</v>
      </c>
      <c r="D10" s="12">
        <v>3</v>
      </c>
      <c r="E10" s="12" t="s">
        <v>157</v>
      </c>
      <c r="F10" s="13" t="s">
        <v>174</v>
      </c>
    </row>
    <row r="11" spans="2:6" ht="28.5" x14ac:dyDescent="0.25">
      <c r="B11" s="14" t="s">
        <v>118</v>
      </c>
      <c r="C11" s="13" t="s">
        <v>175</v>
      </c>
      <c r="D11" s="12">
        <v>2</v>
      </c>
      <c r="E11" s="12" t="s">
        <v>165</v>
      </c>
      <c r="F11" s="13" t="s">
        <v>176</v>
      </c>
    </row>
    <row r="12" spans="2:6" ht="28.5" x14ac:dyDescent="0.25">
      <c r="B12" s="14" t="s">
        <v>129</v>
      </c>
      <c r="C12" s="13" t="s">
        <v>177</v>
      </c>
      <c r="D12" s="12">
        <v>3</v>
      </c>
      <c r="E12" s="12" t="s">
        <v>165</v>
      </c>
      <c r="F12" s="13" t="s">
        <v>178</v>
      </c>
    </row>
    <row r="13" spans="2:6" ht="15" customHeight="1" x14ac:dyDescent="0.25">
      <c r="B13" s="5" t="s">
        <v>179</v>
      </c>
      <c r="C13" s="5"/>
      <c r="D13" s="15">
        <f>SUM(D3:D12)</f>
        <v>43</v>
      </c>
      <c r="E13" s="16"/>
      <c r="F13" s="16"/>
    </row>
  </sheetData>
  <mergeCells count="1"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2"/>
  <sheetViews>
    <sheetView zoomScaleNormal="100" workbookViewId="0"/>
  </sheetViews>
  <sheetFormatPr baseColWidth="10" defaultColWidth="8.7109375" defaultRowHeight="15" x14ac:dyDescent="0.25"/>
  <cols>
    <col min="2" max="2" width="10" customWidth="1"/>
    <col min="3" max="3" width="42" customWidth="1"/>
    <col min="4" max="4" width="20" customWidth="1"/>
    <col min="5" max="5" width="12" customWidth="1"/>
    <col min="6" max="6" width="14" customWidth="1"/>
    <col min="7" max="7" width="12" customWidth="1"/>
    <col min="8" max="8" width="10" customWidth="1"/>
    <col min="9" max="9" width="32" customWidth="1"/>
  </cols>
  <sheetData>
    <row r="2" spans="2:9" ht="30" x14ac:dyDescent="0.25">
      <c r="B2" s="11" t="s">
        <v>180</v>
      </c>
      <c r="C2" s="11" t="s">
        <v>21</v>
      </c>
      <c r="D2" s="11" t="s">
        <v>181</v>
      </c>
      <c r="E2" s="11" t="s">
        <v>182</v>
      </c>
      <c r="F2" s="11" t="s">
        <v>183</v>
      </c>
      <c r="G2" s="11" t="s">
        <v>184</v>
      </c>
      <c r="H2" s="11" t="s">
        <v>185</v>
      </c>
      <c r="I2" s="11" t="s">
        <v>186</v>
      </c>
    </row>
    <row r="3" spans="2:9" ht="42.75" x14ac:dyDescent="0.25">
      <c r="B3" s="14" t="s">
        <v>31</v>
      </c>
      <c r="C3" s="13" t="s">
        <v>187</v>
      </c>
      <c r="D3" s="13" t="s">
        <v>188</v>
      </c>
      <c r="E3" s="12" t="s">
        <v>189</v>
      </c>
      <c r="F3" s="12" t="s">
        <v>157</v>
      </c>
      <c r="G3" s="12">
        <v>1</v>
      </c>
      <c r="H3" s="12" t="s">
        <v>143</v>
      </c>
      <c r="I3" s="13" t="s">
        <v>190</v>
      </c>
    </row>
    <row r="4" spans="2:9" ht="42.75" x14ac:dyDescent="0.25">
      <c r="B4" s="14" t="s">
        <v>43</v>
      </c>
      <c r="C4" s="13" t="s">
        <v>191</v>
      </c>
      <c r="D4" s="13" t="s">
        <v>192</v>
      </c>
      <c r="E4" s="12" t="s">
        <v>189</v>
      </c>
      <c r="F4" s="12" t="s">
        <v>160</v>
      </c>
      <c r="G4" s="12">
        <v>1</v>
      </c>
      <c r="H4" s="12" t="s">
        <v>143</v>
      </c>
      <c r="I4" s="13" t="s">
        <v>193</v>
      </c>
    </row>
    <row r="5" spans="2:9" ht="28.5" x14ac:dyDescent="0.25">
      <c r="B5" s="14" t="s">
        <v>54</v>
      </c>
      <c r="C5" s="13" t="s">
        <v>194</v>
      </c>
      <c r="D5" s="13" t="s">
        <v>195</v>
      </c>
      <c r="E5" s="12" t="s">
        <v>189</v>
      </c>
      <c r="F5" s="12" t="s">
        <v>162</v>
      </c>
      <c r="G5" s="12">
        <v>1</v>
      </c>
      <c r="H5" s="12" t="s">
        <v>146</v>
      </c>
      <c r="I5" s="13" t="s">
        <v>196</v>
      </c>
    </row>
    <row r="6" spans="2:9" ht="28.5" x14ac:dyDescent="0.25">
      <c r="B6" s="14" t="s">
        <v>65</v>
      </c>
      <c r="C6" s="13" t="s">
        <v>197</v>
      </c>
      <c r="D6" s="13" t="s">
        <v>198</v>
      </c>
      <c r="E6" s="12" t="s">
        <v>189</v>
      </c>
      <c r="F6" s="12" t="s">
        <v>165</v>
      </c>
      <c r="G6" s="12">
        <v>2</v>
      </c>
      <c r="H6" s="12" t="s">
        <v>146</v>
      </c>
      <c r="I6" s="13" t="s">
        <v>199</v>
      </c>
    </row>
    <row r="7" spans="2:9" ht="28.5" x14ac:dyDescent="0.25">
      <c r="B7" s="14" t="s">
        <v>76</v>
      </c>
      <c r="C7" s="13" t="s">
        <v>200</v>
      </c>
      <c r="D7" s="13" t="s">
        <v>201</v>
      </c>
      <c r="E7" s="12" t="s">
        <v>189</v>
      </c>
      <c r="F7" s="12" t="s">
        <v>157</v>
      </c>
      <c r="G7" s="12">
        <v>2</v>
      </c>
      <c r="H7" s="12" t="s">
        <v>146</v>
      </c>
      <c r="I7" s="13" t="s">
        <v>202</v>
      </c>
    </row>
    <row r="8" spans="2:9" ht="28.5" x14ac:dyDescent="0.25">
      <c r="B8" s="14" t="s">
        <v>87</v>
      </c>
      <c r="C8" s="13" t="s">
        <v>203</v>
      </c>
      <c r="D8" s="13" t="s">
        <v>204</v>
      </c>
      <c r="E8" s="12" t="s">
        <v>189</v>
      </c>
      <c r="F8" s="12" t="s">
        <v>160</v>
      </c>
      <c r="G8" s="12">
        <v>2</v>
      </c>
      <c r="H8" s="12" t="s">
        <v>143</v>
      </c>
      <c r="I8" s="13" t="s">
        <v>205</v>
      </c>
    </row>
    <row r="9" spans="2:9" ht="28.5" x14ac:dyDescent="0.25">
      <c r="B9" s="14" t="s">
        <v>98</v>
      </c>
      <c r="C9" s="13" t="s">
        <v>206</v>
      </c>
      <c r="D9" s="13" t="s">
        <v>207</v>
      </c>
      <c r="E9" s="12" t="s">
        <v>189</v>
      </c>
      <c r="F9" s="12" t="s">
        <v>162</v>
      </c>
      <c r="G9" s="12">
        <v>3</v>
      </c>
      <c r="H9" s="12" t="s">
        <v>143</v>
      </c>
      <c r="I9" s="13" t="s">
        <v>208</v>
      </c>
    </row>
    <row r="10" spans="2:9" ht="28.5" x14ac:dyDescent="0.25">
      <c r="B10" s="14" t="s">
        <v>108</v>
      </c>
      <c r="C10" s="13" t="s">
        <v>209</v>
      </c>
      <c r="D10" s="13" t="s">
        <v>210</v>
      </c>
      <c r="E10" s="12" t="s">
        <v>189</v>
      </c>
      <c r="F10" s="12" t="s">
        <v>157</v>
      </c>
      <c r="G10" s="12">
        <v>3</v>
      </c>
      <c r="H10" s="12" t="s">
        <v>146</v>
      </c>
      <c r="I10" s="13" t="s">
        <v>211</v>
      </c>
    </row>
    <row r="11" spans="2:9" ht="28.5" x14ac:dyDescent="0.25">
      <c r="B11" s="14" t="s">
        <v>118</v>
      </c>
      <c r="C11" s="13" t="s">
        <v>212</v>
      </c>
      <c r="D11" s="13" t="s">
        <v>213</v>
      </c>
      <c r="E11" s="12" t="s">
        <v>189</v>
      </c>
      <c r="F11" s="12" t="s">
        <v>165</v>
      </c>
      <c r="G11" s="12">
        <v>3</v>
      </c>
      <c r="H11" s="12" t="s">
        <v>143</v>
      </c>
      <c r="I11" s="13" t="s">
        <v>214</v>
      </c>
    </row>
    <row r="12" spans="2:9" ht="28.5" x14ac:dyDescent="0.25">
      <c r="B12" s="14" t="s">
        <v>129</v>
      </c>
      <c r="C12" s="13" t="s">
        <v>215</v>
      </c>
      <c r="D12" s="13" t="s">
        <v>216</v>
      </c>
      <c r="E12" s="12" t="s">
        <v>189</v>
      </c>
      <c r="F12" s="12" t="s">
        <v>165</v>
      </c>
      <c r="G12" s="12">
        <v>3</v>
      </c>
      <c r="H12" s="12" t="s">
        <v>149</v>
      </c>
      <c r="I12" s="13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32"/>
  <sheetViews>
    <sheetView zoomScaleNormal="100" workbookViewId="0"/>
  </sheetViews>
  <sheetFormatPr baseColWidth="10" defaultColWidth="8.7109375" defaultRowHeight="15" x14ac:dyDescent="0.25"/>
  <cols>
    <col min="2" max="2" width="10" customWidth="1"/>
    <col min="3" max="4" width="34" customWidth="1"/>
    <col min="5" max="5" width="14" customWidth="1"/>
    <col min="6" max="6" width="12" customWidth="1"/>
    <col min="7" max="7" width="14" customWidth="1"/>
  </cols>
  <sheetData>
    <row r="1" spans="2:7" ht="15" customHeight="1" x14ac:dyDescent="0.25">
      <c r="B1" s="4" t="s">
        <v>218</v>
      </c>
      <c r="C1" s="4"/>
      <c r="D1" s="4"/>
      <c r="E1" s="4"/>
      <c r="F1" s="4"/>
      <c r="G1" s="4"/>
    </row>
    <row r="2" spans="2:7" ht="15" customHeight="1" x14ac:dyDescent="0.25">
      <c r="B2" s="3" t="s">
        <v>219</v>
      </c>
      <c r="C2" s="3"/>
      <c r="D2" s="3"/>
      <c r="E2" s="3"/>
      <c r="F2" s="3"/>
      <c r="G2" s="3"/>
    </row>
    <row r="3" spans="2:7" ht="30" x14ac:dyDescent="0.25">
      <c r="B3" s="11" t="s">
        <v>152</v>
      </c>
      <c r="C3" s="11" t="s">
        <v>220</v>
      </c>
      <c r="D3" s="11" t="s">
        <v>221</v>
      </c>
      <c r="E3" s="11" t="s">
        <v>222</v>
      </c>
      <c r="F3" s="11" t="s">
        <v>223</v>
      </c>
      <c r="G3" s="11" t="s">
        <v>224</v>
      </c>
    </row>
    <row r="4" spans="2:7" ht="57" x14ac:dyDescent="0.25">
      <c r="B4" s="12" t="s">
        <v>31</v>
      </c>
      <c r="C4" s="13" t="s">
        <v>187</v>
      </c>
      <c r="D4" s="13" t="s">
        <v>225</v>
      </c>
      <c r="E4" s="12" t="s">
        <v>226</v>
      </c>
      <c r="F4" s="12" t="s">
        <v>189</v>
      </c>
      <c r="G4" s="12">
        <v>6</v>
      </c>
    </row>
    <row r="5" spans="2:7" ht="57" x14ac:dyDescent="0.25">
      <c r="B5" s="12" t="s">
        <v>43</v>
      </c>
      <c r="C5" s="13" t="s">
        <v>191</v>
      </c>
      <c r="D5" s="13" t="s">
        <v>227</v>
      </c>
      <c r="E5" s="12" t="s">
        <v>226</v>
      </c>
      <c r="F5" s="12" t="s">
        <v>189</v>
      </c>
      <c r="G5" s="12">
        <v>8</v>
      </c>
    </row>
    <row r="6" spans="2:7" ht="57" x14ac:dyDescent="0.25">
      <c r="B6" s="12" t="s">
        <v>43</v>
      </c>
      <c r="C6" s="13" t="s">
        <v>191</v>
      </c>
      <c r="D6" s="13" t="s">
        <v>228</v>
      </c>
      <c r="E6" s="12" t="s">
        <v>226</v>
      </c>
      <c r="F6" s="12" t="s">
        <v>189</v>
      </c>
      <c r="G6" s="12">
        <v>10</v>
      </c>
    </row>
    <row r="7" spans="2:7" ht="42.75" x14ac:dyDescent="0.25">
      <c r="B7" s="12" t="s">
        <v>54</v>
      </c>
      <c r="C7" s="13" t="s">
        <v>194</v>
      </c>
      <c r="D7" s="13" t="s">
        <v>229</v>
      </c>
      <c r="E7" s="12" t="s">
        <v>226</v>
      </c>
      <c r="F7" s="12" t="s">
        <v>189</v>
      </c>
      <c r="G7" s="12">
        <v>6</v>
      </c>
    </row>
    <row r="8" spans="2:7" ht="28.5" x14ac:dyDescent="0.25">
      <c r="B8" s="12" t="s">
        <v>230</v>
      </c>
      <c r="C8" s="13" t="s">
        <v>231</v>
      </c>
      <c r="D8" s="13" t="s">
        <v>232</v>
      </c>
      <c r="E8" s="12" t="s">
        <v>226</v>
      </c>
      <c r="F8" s="12" t="s">
        <v>189</v>
      </c>
      <c r="G8" s="12">
        <v>4</v>
      </c>
    </row>
    <row r="9" spans="2:7" x14ac:dyDescent="0.25">
      <c r="B9" s="2" t="s">
        <v>233</v>
      </c>
      <c r="C9" s="2"/>
      <c r="D9" s="2"/>
      <c r="E9" s="2"/>
      <c r="F9" s="2"/>
      <c r="G9" s="15">
        <f>SUM(G4:G8)</f>
        <v>34</v>
      </c>
    </row>
    <row r="11" spans="2:7" ht="15" customHeight="1" x14ac:dyDescent="0.25">
      <c r="B11" s="4" t="s">
        <v>234</v>
      </c>
      <c r="C11" s="4"/>
      <c r="D11" s="4"/>
      <c r="E11" s="4"/>
      <c r="F11" s="4"/>
      <c r="G11" s="4"/>
    </row>
    <row r="12" spans="2:7" ht="15" customHeight="1" x14ac:dyDescent="0.25">
      <c r="B12" s="3" t="s">
        <v>235</v>
      </c>
      <c r="C12" s="3"/>
      <c r="D12" s="3"/>
      <c r="E12" s="3"/>
      <c r="F12" s="3"/>
      <c r="G12" s="3"/>
    </row>
    <row r="13" spans="2:7" ht="30" x14ac:dyDescent="0.25">
      <c r="B13" s="11" t="s">
        <v>152</v>
      </c>
      <c r="C13" s="11" t="s">
        <v>220</v>
      </c>
      <c r="D13" s="11" t="s">
        <v>221</v>
      </c>
      <c r="E13" s="11" t="s">
        <v>222</v>
      </c>
      <c r="F13" s="11" t="s">
        <v>223</v>
      </c>
      <c r="G13" s="11" t="s">
        <v>224</v>
      </c>
    </row>
    <row r="14" spans="2:7" ht="28.5" x14ac:dyDescent="0.25">
      <c r="B14" s="12" t="s">
        <v>65</v>
      </c>
      <c r="C14" s="13" t="s">
        <v>197</v>
      </c>
      <c r="D14" s="13" t="s">
        <v>236</v>
      </c>
      <c r="E14" s="12" t="s">
        <v>226</v>
      </c>
      <c r="F14" s="12" t="s">
        <v>189</v>
      </c>
      <c r="G14" s="12">
        <v>5</v>
      </c>
    </row>
    <row r="15" spans="2:7" ht="28.5" x14ac:dyDescent="0.25">
      <c r="B15" s="12" t="s">
        <v>76</v>
      </c>
      <c r="C15" s="13" t="s">
        <v>200</v>
      </c>
      <c r="D15" s="13" t="s">
        <v>237</v>
      </c>
      <c r="E15" s="12" t="s">
        <v>226</v>
      </c>
      <c r="F15" s="12" t="s">
        <v>189</v>
      </c>
      <c r="G15" s="12">
        <v>6</v>
      </c>
    </row>
    <row r="16" spans="2:7" ht="42.75" x14ac:dyDescent="0.25">
      <c r="B16" s="12" t="s">
        <v>87</v>
      </c>
      <c r="C16" s="13" t="s">
        <v>203</v>
      </c>
      <c r="D16" s="13" t="s">
        <v>238</v>
      </c>
      <c r="E16" s="12" t="s">
        <v>226</v>
      </c>
      <c r="F16" s="12" t="s">
        <v>189</v>
      </c>
      <c r="G16" s="12">
        <v>12</v>
      </c>
    </row>
    <row r="17" spans="2:7" ht="28.5" x14ac:dyDescent="0.25">
      <c r="B17" s="12" t="s">
        <v>230</v>
      </c>
      <c r="C17" s="13" t="s">
        <v>231</v>
      </c>
      <c r="D17" s="13" t="s">
        <v>239</v>
      </c>
      <c r="E17" s="12" t="s">
        <v>226</v>
      </c>
      <c r="F17" s="12" t="s">
        <v>189</v>
      </c>
      <c r="G17" s="12">
        <v>5</v>
      </c>
    </row>
    <row r="18" spans="2:7" x14ac:dyDescent="0.25">
      <c r="B18" s="2" t="s">
        <v>240</v>
      </c>
      <c r="C18" s="2"/>
      <c r="D18" s="2"/>
      <c r="E18" s="2"/>
      <c r="F18" s="2"/>
      <c r="G18" s="15">
        <f>SUM(G14:G17)</f>
        <v>28</v>
      </c>
    </row>
    <row r="20" spans="2:7" ht="15" customHeight="1" x14ac:dyDescent="0.25">
      <c r="B20" s="4" t="s">
        <v>241</v>
      </c>
      <c r="C20" s="4"/>
      <c r="D20" s="4"/>
      <c r="E20" s="4"/>
      <c r="F20" s="4"/>
      <c r="G20" s="4"/>
    </row>
    <row r="21" spans="2:7" ht="15" customHeight="1" x14ac:dyDescent="0.25">
      <c r="B21" s="3" t="s">
        <v>242</v>
      </c>
      <c r="C21" s="3"/>
      <c r="D21" s="3"/>
      <c r="E21" s="3"/>
      <c r="F21" s="3"/>
      <c r="G21" s="3"/>
    </row>
    <row r="22" spans="2:7" ht="30" x14ac:dyDescent="0.25">
      <c r="B22" s="11" t="s">
        <v>152</v>
      </c>
      <c r="C22" s="11" t="s">
        <v>220</v>
      </c>
      <c r="D22" s="11" t="s">
        <v>221</v>
      </c>
      <c r="E22" s="11" t="s">
        <v>222</v>
      </c>
      <c r="F22" s="11" t="s">
        <v>223</v>
      </c>
      <c r="G22" s="11" t="s">
        <v>224</v>
      </c>
    </row>
    <row r="23" spans="2:7" ht="28.5" x14ac:dyDescent="0.25">
      <c r="B23" s="12" t="s">
        <v>98</v>
      </c>
      <c r="C23" s="13" t="s">
        <v>206</v>
      </c>
      <c r="D23" s="13" t="s">
        <v>243</v>
      </c>
      <c r="E23" s="12" t="s">
        <v>226</v>
      </c>
      <c r="F23" s="12" t="s">
        <v>189</v>
      </c>
      <c r="G23" s="12">
        <v>8</v>
      </c>
    </row>
    <row r="24" spans="2:7" ht="28.5" x14ac:dyDescent="0.25">
      <c r="B24" s="12" t="s">
        <v>108</v>
      </c>
      <c r="C24" s="13" t="s">
        <v>209</v>
      </c>
      <c r="D24" s="13" t="s">
        <v>244</v>
      </c>
      <c r="E24" s="12" t="s">
        <v>226</v>
      </c>
      <c r="F24" s="12" t="s">
        <v>189</v>
      </c>
      <c r="G24" s="12">
        <v>5</v>
      </c>
    </row>
    <row r="25" spans="2:7" ht="28.5" x14ac:dyDescent="0.25">
      <c r="B25" s="12" t="s">
        <v>118</v>
      </c>
      <c r="C25" s="13" t="s">
        <v>212</v>
      </c>
      <c r="D25" s="13" t="s">
        <v>245</v>
      </c>
      <c r="E25" s="12" t="s">
        <v>226</v>
      </c>
      <c r="F25" s="12" t="s">
        <v>189</v>
      </c>
      <c r="G25" s="12">
        <v>3</v>
      </c>
    </row>
    <row r="26" spans="2:7" ht="28.5" x14ac:dyDescent="0.25">
      <c r="B26" s="12" t="s">
        <v>129</v>
      </c>
      <c r="C26" s="13" t="s">
        <v>215</v>
      </c>
      <c r="D26" s="13" t="s">
        <v>246</v>
      </c>
      <c r="E26" s="12" t="s">
        <v>226</v>
      </c>
      <c r="F26" s="12" t="s">
        <v>189</v>
      </c>
      <c r="G26" s="12">
        <v>4</v>
      </c>
    </row>
    <row r="27" spans="2:7" ht="28.5" x14ac:dyDescent="0.25">
      <c r="B27" s="12" t="s">
        <v>230</v>
      </c>
      <c r="C27" s="13" t="s">
        <v>231</v>
      </c>
      <c r="D27" s="13" t="s">
        <v>247</v>
      </c>
      <c r="E27" s="12" t="s">
        <v>226</v>
      </c>
      <c r="F27" s="12" t="s">
        <v>189</v>
      </c>
      <c r="G27" s="12">
        <v>8</v>
      </c>
    </row>
    <row r="28" spans="2:7" x14ac:dyDescent="0.25">
      <c r="B28" s="2" t="s">
        <v>248</v>
      </c>
      <c r="C28" s="2"/>
      <c r="D28" s="2"/>
      <c r="E28" s="2"/>
      <c r="F28" s="2"/>
      <c r="G28" s="15">
        <f>SUM(G23:G27)</f>
        <v>28</v>
      </c>
    </row>
    <row r="30" spans="2:7" ht="15" customHeight="1" x14ac:dyDescent="0.25">
      <c r="B30" s="4" t="s">
        <v>249</v>
      </c>
      <c r="C30" s="4"/>
      <c r="D30" s="4"/>
      <c r="E30" s="4"/>
      <c r="F30" s="4"/>
      <c r="G30" s="4"/>
    </row>
    <row r="31" spans="2:7" ht="26.85" customHeight="1" x14ac:dyDescent="0.25">
      <c r="B31" s="11" t="s">
        <v>250</v>
      </c>
      <c r="C31" s="11" t="s">
        <v>251</v>
      </c>
      <c r="D31" s="8" t="s">
        <v>252</v>
      </c>
      <c r="E31" s="8"/>
      <c r="F31" s="8"/>
      <c r="G31" s="8"/>
    </row>
    <row r="32" spans="2:7" ht="52.15" customHeight="1" x14ac:dyDescent="0.25">
      <c r="B32" s="14" t="s">
        <v>253</v>
      </c>
      <c r="C32" s="13" t="s">
        <v>254</v>
      </c>
      <c r="D32" s="1" t="s">
        <v>255</v>
      </c>
      <c r="E32" s="1"/>
      <c r="F32" s="1"/>
      <c r="G32" s="1"/>
    </row>
  </sheetData>
  <mergeCells count="12">
    <mergeCell ref="D31:G31"/>
    <mergeCell ref="D32:G32"/>
    <mergeCell ref="B18:F18"/>
    <mergeCell ref="B20:G20"/>
    <mergeCell ref="B21:G21"/>
    <mergeCell ref="B28:F28"/>
    <mergeCell ref="B30:G30"/>
    <mergeCell ref="B1:G1"/>
    <mergeCell ref="B2:G2"/>
    <mergeCell ref="B9:F9"/>
    <mergeCell ref="B11:G11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Rol</vt:lpstr>
      <vt:lpstr>Historias</vt:lpstr>
      <vt:lpstr>Prioridad</vt:lpstr>
      <vt:lpstr>Estimación</vt:lpstr>
      <vt:lpstr>Product Backlog</vt:lpstr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FabioCCG</cp:lastModifiedBy>
  <cp:revision>0</cp:revision>
  <dcterms:created xsi:type="dcterms:W3CDTF">2026-07-08T21:48:41Z</dcterms:created>
  <dcterms:modified xsi:type="dcterms:W3CDTF">2026-07-12T01:49:07Z</dcterms:modified>
  <dc:language>en-US</dc:language>
</cp:coreProperties>
</file>